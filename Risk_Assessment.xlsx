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7" i="1"/>
  <c r="H9"/>
  <c r="H10"/>
  <c r="H11"/>
  <c r="H14"/>
  <c r="H19"/>
  <c r="G4"/>
  <c r="H4" s="1"/>
  <c r="G5"/>
  <c r="H5" s="1"/>
  <c r="G6"/>
  <c r="H6" s="1"/>
  <c r="G7"/>
  <c r="G8"/>
  <c r="H8" s="1"/>
  <c r="G9"/>
  <c r="G10"/>
  <c r="G11"/>
  <c r="G12"/>
  <c r="H12" s="1"/>
  <c r="G13"/>
  <c r="H13" s="1"/>
  <c r="G14"/>
  <c r="G15"/>
  <c r="H15" s="1"/>
  <c r="G16"/>
  <c r="H16" s="1"/>
  <c r="G17"/>
  <c r="H17" s="1"/>
  <c r="G18"/>
  <c r="H18" s="1"/>
  <c r="G19"/>
  <c r="G20"/>
  <c r="H20" s="1"/>
  <c r="G21"/>
  <c r="H21" s="1"/>
  <c r="G3"/>
  <c r="H3"/>
  <c r="H2"/>
  <c r="G2"/>
</calcChain>
</file>

<file path=xl/sharedStrings.xml><?xml version="1.0" encoding="utf-8"?>
<sst xmlns="http://schemas.openxmlformats.org/spreadsheetml/2006/main" count="130" uniqueCount="97">
  <si>
    <t>Asset</t>
  </si>
  <si>
    <t>Asset Owner</t>
  </si>
  <si>
    <t>Threat</t>
  </si>
  <si>
    <t>Vulnerability</t>
  </si>
  <si>
    <t>Impact (1-5)</t>
  </si>
  <si>
    <t>Likelihood (1-5)</t>
  </si>
  <si>
    <t>Risk Score</t>
  </si>
  <si>
    <t>Risk Level</t>
  </si>
  <si>
    <t>Treatment</t>
  </si>
  <si>
    <t>Control Reference</t>
  </si>
  <si>
    <t>Client Database</t>
  </si>
  <si>
    <t>IT Manager</t>
  </si>
  <si>
    <t>Data Breach</t>
  </si>
  <si>
    <t>Weak Password Policy</t>
  </si>
  <si>
    <t>Mitigate</t>
  </si>
  <si>
    <t>A.9 Access Control</t>
  </si>
  <si>
    <t>Cloud Infrastructure</t>
  </si>
  <si>
    <t>DevOps</t>
  </si>
  <si>
    <t>Misconfiguration</t>
  </si>
  <si>
    <t>Improper Access Settings</t>
  </si>
  <si>
    <t>A.12 Operations Security</t>
  </si>
  <si>
    <t>Web Application</t>
  </si>
  <si>
    <t>Dev Team</t>
  </si>
  <si>
    <t>SQL Injection</t>
  </si>
  <si>
    <t>Lack of Input Validation</t>
  </si>
  <si>
    <t>A.14 Secure Development</t>
  </si>
  <si>
    <t>Admin Panel</t>
  </si>
  <si>
    <t>System Admin</t>
  </si>
  <si>
    <t>Unauthorized Access</t>
  </si>
  <si>
    <t>No MFA</t>
  </si>
  <si>
    <t>A.9.4 Access Control</t>
  </si>
  <si>
    <t>Employee Laptops</t>
  </si>
  <si>
    <t>IT Support</t>
  </si>
  <si>
    <t>Malware Attack</t>
  </si>
  <si>
    <t>No Endpoint Protection</t>
  </si>
  <si>
    <t>A.12.2 Malware Protection</t>
  </si>
  <si>
    <t>Email System</t>
  </si>
  <si>
    <t>Admin</t>
  </si>
  <si>
    <t>Phishing Attack</t>
  </si>
  <si>
    <t>Lack of Awareness</t>
  </si>
  <si>
    <t>A.7 Security Awareness</t>
  </si>
  <si>
    <t>Backup System</t>
  </si>
  <si>
    <t>IT Team</t>
  </si>
  <si>
    <t>Data Loss</t>
  </si>
  <si>
    <t>No Backup Policy</t>
  </si>
  <si>
    <t>A.12 Backup</t>
  </si>
  <si>
    <t>Source Code Repository</t>
  </si>
  <si>
    <t>Code Theft</t>
  </si>
  <si>
    <t>No Access Restriction</t>
  </si>
  <si>
    <t>Network Infrastructure</t>
  </si>
  <si>
    <t>Intrusion</t>
  </si>
  <si>
    <t>No Firewall</t>
  </si>
  <si>
    <t>A.13 Network Security</t>
  </si>
  <si>
    <t>User Accounts</t>
  </si>
  <si>
    <t>Credential Theft</t>
  </si>
  <si>
    <t>Weak Passwords</t>
  </si>
  <si>
    <t>AI Models/Data</t>
  </si>
  <si>
    <t>AI Team</t>
  </si>
  <si>
    <t>Data Manipulation</t>
  </si>
  <si>
    <t>No Integrity Controls</t>
  </si>
  <si>
    <t>A.14 System Security</t>
  </si>
  <si>
    <t>Client Communication</t>
  </si>
  <si>
    <t>Support Team</t>
  </si>
  <si>
    <t>Data Leakage</t>
  </si>
  <si>
    <t>Unsecured Channels</t>
  </si>
  <si>
    <t>A.13 Communication Security</t>
  </si>
  <si>
    <t>Third-Party APIs</t>
  </si>
  <si>
    <t>Data Exposure</t>
  </si>
  <si>
    <t>Lack of Vendor Security Checks</t>
  </si>
  <si>
    <t>A.15 Supplier Security</t>
  </si>
  <si>
    <t>Cloud Storage</t>
  </si>
  <si>
    <t>IT</t>
  </si>
  <si>
    <t>Misconfigured Permissions</t>
  </si>
  <si>
    <t>A.8 Asset Management</t>
  </si>
  <si>
    <t>Digital Marketing Tools</t>
  </si>
  <si>
    <t>Marketing Team</t>
  </si>
  <si>
    <t>Account Hijacking</t>
  </si>
  <si>
    <t>Payment Systems</t>
  </si>
  <si>
    <t>Finance</t>
  </si>
  <si>
    <t>Fraud</t>
  </si>
  <si>
    <t>Weak Monitoring</t>
  </si>
  <si>
    <t>A.12 Logging &amp; Monitoring</t>
  </si>
  <si>
    <t>Internal Documents</t>
  </si>
  <si>
    <t>HR</t>
  </si>
  <si>
    <t>No Classification Policy</t>
  </si>
  <si>
    <t>A.8 Information Classification</t>
  </si>
  <si>
    <t>Remote Access</t>
  </si>
  <si>
    <t>Unauthorized Login</t>
  </si>
  <si>
    <t>No VPN</t>
  </si>
  <si>
    <t>Software Deployment</t>
  </si>
  <si>
    <t>Unauthorized Changes</t>
  </si>
  <si>
    <t>No Change Control</t>
  </si>
  <si>
    <t>A.12 Change Management</t>
  </si>
  <si>
    <t>Backup Media</t>
  </si>
  <si>
    <t>Data Theft</t>
  </si>
  <si>
    <t>No Encryption</t>
  </si>
  <si>
    <t>A.10 Cryptography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</si>
</sst>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>
      <selection activeCell="E15" sqref="E15"/>
    </sheetView>
  </sheetViews>
  <sheetFormatPr defaultRowHeight="15"/>
  <cols>
    <col min="1" max="1" width="30.7109375" customWidth="1"/>
    <col min="2" max="2" width="28" customWidth="1"/>
    <col min="3" max="3" width="27.5703125" customWidth="1"/>
    <col min="4" max="4" width="38.28515625" customWidth="1"/>
    <col min="5" max="5" width="23.5703125" customWidth="1"/>
    <col min="6" max="6" width="23.42578125" customWidth="1"/>
    <col min="7" max="7" width="22.42578125" customWidth="1"/>
    <col min="8" max="8" width="23.5703125" customWidth="1"/>
    <col min="9" max="9" width="23.7109375" customWidth="1"/>
    <col min="10" max="10" width="33.42578125" customWidth="1"/>
  </cols>
  <sheetData>
    <row r="1" spans="1:10" ht="5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>
        <v>5</v>
      </c>
      <c r="F2" s="2">
        <v>4</v>
      </c>
      <c r="G2" s="4">
        <f>E2*F2</f>
        <v>20</v>
      </c>
      <c r="H2" s="3" t="str">
        <f>IF(G2&gt;=15,"High",IF(G2&gt;=10,"Medium","Low"))</f>
        <v>High</v>
      </c>
      <c r="I2" s="2" t="s">
        <v>14</v>
      </c>
      <c r="J2" s="2" t="s">
        <v>15</v>
      </c>
    </row>
    <row r="3" spans="1:10" ht="23.25" customHeight="1">
      <c r="A3" s="2" t="s">
        <v>16</v>
      </c>
      <c r="B3" s="2" t="s">
        <v>17</v>
      </c>
      <c r="C3" s="2" t="s">
        <v>18</v>
      </c>
      <c r="D3" s="2" t="s">
        <v>19</v>
      </c>
      <c r="E3" s="2">
        <v>5</v>
      </c>
      <c r="F3" s="2">
        <v>3</v>
      </c>
      <c r="G3" s="4">
        <f>E3*F3</f>
        <v>15</v>
      </c>
      <c r="H3" s="3" t="str">
        <f>IF(G3&gt;=15,"High",IF(G3&gt;=10,"Medium","Low"))</f>
        <v>High</v>
      </c>
      <c r="I3" s="2" t="s">
        <v>14</v>
      </c>
      <c r="J3" s="2" t="s">
        <v>20</v>
      </c>
    </row>
    <row r="4" spans="1:10" ht="25.5" customHeight="1">
      <c r="A4" s="2" t="s">
        <v>21</v>
      </c>
      <c r="B4" s="2" t="s">
        <v>22</v>
      </c>
      <c r="C4" s="2" t="s">
        <v>23</v>
      </c>
      <c r="D4" s="2" t="s">
        <v>24</v>
      </c>
      <c r="E4" s="2">
        <v>5</v>
      </c>
      <c r="F4" s="2">
        <v>3</v>
      </c>
      <c r="G4" s="4">
        <f t="shared" ref="G4:G21" si="0">E4*F4</f>
        <v>15</v>
      </c>
      <c r="H4" s="3" t="str">
        <f t="shared" ref="H4:H21" si="1">IF(G4&gt;=15,"High",IF(G4&gt;=10,"Medium","Low"))</f>
        <v>High</v>
      </c>
      <c r="I4" s="2" t="s">
        <v>14</v>
      </c>
      <c r="J4" s="2" t="s">
        <v>25</v>
      </c>
    </row>
    <row r="5" spans="1:10" ht="24" customHeight="1">
      <c r="A5" s="2" t="s">
        <v>26</v>
      </c>
      <c r="B5" s="2" t="s">
        <v>27</v>
      </c>
      <c r="C5" s="2" t="s">
        <v>28</v>
      </c>
      <c r="D5" s="2" t="s">
        <v>29</v>
      </c>
      <c r="E5" s="2">
        <v>5</v>
      </c>
      <c r="F5" s="2">
        <v>4</v>
      </c>
      <c r="G5" s="4">
        <f t="shared" si="0"/>
        <v>20</v>
      </c>
      <c r="H5" s="3" t="str">
        <f t="shared" si="1"/>
        <v>High</v>
      </c>
      <c r="I5" s="2" t="s">
        <v>14</v>
      </c>
      <c r="J5" s="2" t="s">
        <v>30</v>
      </c>
    </row>
    <row r="6" spans="1:10" ht="21.75" customHeight="1">
      <c r="A6" s="2" t="s">
        <v>31</v>
      </c>
      <c r="B6" s="2" t="s">
        <v>32</v>
      </c>
      <c r="C6" s="2" t="s">
        <v>33</v>
      </c>
      <c r="D6" s="2" t="s">
        <v>34</v>
      </c>
      <c r="E6" s="2">
        <v>4</v>
      </c>
      <c r="F6" s="2">
        <v>4</v>
      </c>
      <c r="G6" s="4">
        <f t="shared" si="0"/>
        <v>16</v>
      </c>
      <c r="H6" s="3" t="str">
        <f t="shared" si="1"/>
        <v>High</v>
      </c>
      <c r="I6" s="2" t="s">
        <v>14</v>
      </c>
      <c r="J6" s="2" t="s">
        <v>35</v>
      </c>
    </row>
    <row r="7" spans="1:10" ht="21" customHeight="1">
      <c r="A7" s="2" t="s">
        <v>36</v>
      </c>
      <c r="B7" s="2" t="s">
        <v>37</v>
      </c>
      <c r="C7" s="2" t="s">
        <v>38</v>
      </c>
      <c r="D7" s="2" t="s">
        <v>39</v>
      </c>
      <c r="E7" s="2">
        <v>4</v>
      </c>
      <c r="F7" s="2">
        <v>4</v>
      </c>
      <c r="G7" s="4">
        <f t="shared" si="0"/>
        <v>16</v>
      </c>
      <c r="H7" s="3" t="str">
        <f t="shared" si="1"/>
        <v>High</v>
      </c>
      <c r="I7" s="2" t="s">
        <v>14</v>
      </c>
      <c r="J7" s="2" t="s">
        <v>40</v>
      </c>
    </row>
    <row r="8" spans="1:10" ht="20.25" customHeight="1">
      <c r="A8" s="2" t="s">
        <v>41</v>
      </c>
      <c r="B8" s="2" t="s">
        <v>42</v>
      </c>
      <c r="C8" s="2" t="s">
        <v>43</v>
      </c>
      <c r="D8" s="2" t="s">
        <v>44</v>
      </c>
      <c r="E8" s="2">
        <v>5</v>
      </c>
      <c r="F8" s="2">
        <v>2</v>
      </c>
      <c r="G8" s="4">
        <f t="shared" si="0"/>
        <v>10</v>
      </c>
      <c r="H8" s="3" t="str">
        <f t="shared" si="1"/>
        <v>Medium</v>
      </c>
      <c r="I8" s="2" t="s">
        <v>14</v>
      </c>
      <c r="J8" s="2" t="s">
        <v>45</v>
      </c>
    </row>
    <row r="9" spans="1:10" ht="19.5" customHeight="1">
      <c r="A9" s="2" t="s">
        <v>46</v>
      </c>
      <c r="B9" s="2" t="s">
        <v>22</v>
      </c>
      <c r="C9" s="2" t="s">
        <v>47</v>
      </c>
      <c r="D9" s="2" t="s">
        <v>48</v>
      </c>
      <c r="E9" s="2">
        <v>5</v>
      </c>
      <c r="F9" s="2">
        <v>3</v>
      </c>
      <c r="G9" s="4">
        <f t="shared" si="0"/>
        <v>15</v>
      </c>
      <c r="H9" s="3" t="str">
        <f t="shared" si="1"/>
        <v>High</v>
      </c>
      <c r="I9" s="2" t="s">
        <v>14</v>
      </c>
      <c r="J9" s="2" t="s">
        <v>15</v>
      </c>
    </row>
    <row r="10" spans="1:10" ht="20.25" customHeight="1">
      <c r="A10" s="2" t="s">
        <v>49</v>
      </c>
      <c r="B10" s="2" t="s">
        <v>42</v>
      </c>
      <c r="C10" s="2" t="s">
        <v>50</v>
      </c>
      <c r="D10" s="2" t="s">
        <v>51</v>
      </c>
      <c r="E10" s="2">
        <v>5</v>
      </c>
      <c r="F10" s="2">
        <v>3</v>
      </c>
      <c r="G10" s="4">
        <f t="shared" si="0"/>
        <v>15</v>
      </c>
      <c r="H10" s="3" t="str">
        <f t="shared" si="1"/>
        <v>High</v>
      </c>
      <c r="I10" s="2" t="s">
        <v>14</v>
      </c>
      <c r="J10" s="2" t="s">
        <v>52</v>
      </c>
    </row>
    <row r="11" spans="1:10" ht="18.75" customHeight="1">
      <c r="A11" s="2" t="s">
        <v>53</v>
      </c>
      <c r="B11" s="2" t="s">
        <v>37</v>
      </c>
      <c r="C11" s="2" t="s">
        <v>54</v>
      </c>
      <c r="D11" s="2" t="s">
        <v>55</v>
      </c>
      <c r="E11" s="2">
        <v>4</v>
      </c>
      <c r="F11" s="2">
        <v>4</v>
      </c>
      <c r="G11" s="4">
        <f t="shared" si="0"/>
        <v>16</v>
      </c>
      <c r="H11" s="3" t="str">
        <f t="shared" si="1"/>
        <v>High</v>
      </c>
      <c r="I11" s="2" t="s">
        <v>14</v>
      </c>
      <c r="J11" s="2" t="s">
        <v>15</v>
      </c>
    </row>
    <row r="12" spans="1:10" ht="21.75" customHeight="1">
      <c r="A12" s="2" t="s">
        <v>56</v>
      </c>
      <c r="B12" s="2" t="s">
        <v>57</v>
      </c>
      <c r="C12" s="2" t="s">
        <v>58</v>
      </c>
      <c r="D12" s="2" t="s">
        <v>59</v>
      </c>
      <c r="E12" s="2">
        <v>5</v>
      </c>
      <c r="F12" s="2">
        <v>3</v>
      </c>
      <c r="G12" s="4">
        <f t="shared" si="0"/>
        <v>15</v>
      </c>
      <c r="H12" s="3" t="str">
        <f t="shared" si="1"/>
        <v>High</v>
      </c>
      <c r="I12" s="2" t="s">
        <v>14</v>
      </c>
      <c r="J12" s="2" t="s">
        <v>60</v>
      </c>
    </row>
    <row r="13" spans="1:10" ht="19.5" customHeight="1">
      <c r="A13" s="2" t="s">
        <v>61</v>
      </c>
      <c r="B13" s="2" t="s">
        <v>62</v>
      </c>
      <c r="C13" s="2" t="s">
        <v>63</v>
      </c>
      <c r="D13" s="2" t="s">
        <v>64</v>
      </c>
      <c r="E13" s="2">
        <v>4</v>
      </c>
      <c r="F13" s="2">
        <v>3</v>
      </c>
      <c r="G13" s="4">
        <f t="shared" si="0"/>
        <v>12</v>
      </c>
      <c r="H13" s="3" t="str">
        <f t="shared" si="1"/>
        <v>Medium</v>
      </c>
      <c r="I13" s="2" t="s">
        <v>14</v>
      </c>
      <c r="J13" s="2" t="s">
        <v>65</v>
      </c>
    </row>
    <row r="14" spans="1:10" ht="20.25" customHeight="1">
      <c r="A14" s="2" t="s">
        <v>66</v>
      </c>
      <c r="B14" s="2" t="s">
        <v>17</v>
      </c>
      <c r="C14" s="2" t="s">
        <v>67</v>
      </c>
      <c r="D14" s="2" t="s">
        <v>68</v>
      </c>
      <c r="E14" s="2">
        <v>5</v>
      </c>
      <c r="F14" s="2">
        <v>3</v>
      </c>
      <c r="G14" s="4">
        <f t="shared" si="0"/>
        <v>15</v>
      </c>
      <c r="H14" s="3" t="str">
        <f t="shared" si="1"/>
        <v>High</v>
      </c>
      <c r="I14" s="2" t="s">
        <v>14</v>
      </c>
      <c r="J14" s="2" t="s">
        <v>69</v>
      </c>
    </row>
    <row r="15" spans="1:10" ht="18.75" customHeight="1">
      <c r="A15" s="2" t="s">
        <v>70</v>
      </c>
      <c r="B15" s="2" t="s">
        <v>71</v>
      </c>
      <c r="C15" s="2" t="s">
        <v>28</v>
      </c>
      <c r="D15" s="2" t="s">
        <v>72</v>
      </c>
      <c r="E15" s="2">
        <v>5</v>
      </c>
      <c r="F15" s="2">
        <v>3</v>
      </c>
      <c r="G15" s="4">
        <f t="shared" si="0"/>
        <v>15</v>
      </c>
      <c r="H15" s="3" t="str">
        <f t="shared" si="1"/>
        <v>High</v>
      </c>
      <c r="I15" s="2" t="s">
        <v>14</v>
      </c>
      <c r="J15" s="2" t="s">
        <v>73</v>
      </c>
    </row>
    <row r="16" spans="1:10" ht="19.5" customHeight="1">
      <c r="A16" s="2" t="s">
        <v>74</v>
      </c>
      <c r="B16" s="2" t="s">
        <v>75</v>
      </c>
      <c r="C16" s="2" t="s">
        <v>76</v>
      </c>
      <c r="D16" s="2" t="s">
        <v>29</v>
      </c>
      <c r="E16" s="2">
        <v>4</v>
      </c>
      <c r="F16" s="2">
        <v>3</v>
      </c>
      <c r="G16" s="4">
        <f t="shared" si="0"/>
        <v>12</v>
      </c>
      <c r="H16" s="3" t="str">
        <f t="shared" si="1"/>
        <v>Medium</v>
      </c>
      <c r="I16" s="2" t="s">
        <v>14</v>
      </c>
      <c r="J16" s="2" t="s">
        <v>15</v>
      </c>
    </row>
    <row r="17" spans="1:10" ht="20.25" customHeight="1">
      <c r="A17" s="2" t="s">
        <v>77</v>
      </c>
      <c r="B17" s="2" t="s">
        <v>78</v>
      </c>
      <c r="C17" s="2" t="s">
        <v>79</v>
      </c>
      <c r="D17" s="2" t="s">
        <v>80</v>
      </c>
      <c r="E17" s="2">
        <v>5</v>
      </c>
      <c r="F17" s="2">
        <v>2</v>
      </c>
      <c r="G17" s="4">
        <f t="shared" si="0"/>
        <v>10</v>
      </c>
      <c r="H17" s="3" t="str">
        <f t="shared" si="1"/>
        <v>Medium</v>
      </c>
      <c r="I17" s="2" t="s">
        <v>14</v>
      </c>
      <c r="J17" s="2" t="s">
        <v>81</v>
      </c>
    </row>
    <row r="18" spans="1:10" ht="20.25" customHeight="1">
      <c r="A18" s="2" t="s">
        <v>82</v>
      </c>
      <c r="B18" s="2" t="s">
        <v>83</v>
      </c>
      <c r="C18" s="2" t="s">
        <v>63</v>
      </c>
      <c r="D18" s="2" t="s">
        <v>84</v>
      </c>
      <c r="E18" s="2">
        <v>4</v>
      </c>
      <c r="F18" s="2">
        <v>3</v>
      </c>
      <c r="G18" s="4">
        <f t="shared" si="0"/>
        <v>12</v>
      </c>
      <c r="H18" s="3" t="str">
        <f t="shared" si="1"/>
        <v>Medium</v>
      </c>
      <c r="I18" s="2" t="s">
        <v>14</v>
      </c>
      <c r="J18" s="2" t="s">
        <v>85</v>
      </c>
    </row>
    <row r="19" spans="1:10" ht="19.5" customHeight="1">
      <c r="A19" s="2" t="s">
        <v>86</v>
      </c>
      <c r="B19" s="2" t="s">
        <v>71</v>
      </c>
      <c r="C19" s="2" t="s">
        <v>87</v>
      </c>
      <c r="D19" s="2" t="s">
        <v>88</v>
      </c>
      <c r="E19" s="2">
        <v>5</v>
      </c>
      <c r="F19" s="2">
        <v>3</v>
      </c>
      <c r="G19" s="4">
        <f t="shared" si="0"/>
        <v>15</v>
      </c>
      <c r="H19" s="3" t="str">
        <f t="shared" si="1"/>
        <v>High</v>
      </c>
      <c r="I19" s="2" t="s">
        <v>14</v>
      </c>
      <c r="J19" s="2" t="s">
        <v>52</v>
      </c>
    </row>
    <row r="20" spans="1:10" ht="21" customHeight="1">
      <c r="A20" s="2" t="s">
        <v>89</v>
      </c>
      <c r="B20" s="2" t="s">
        <v>17</v>
      </c>
      <c r="C20" s="2" t="s">
        <v>90</v>
      </c>
      <c r="D20" s="2" t="s">
        <v>91</v>
      </c>
      <c r="E20" s="2">
        <v>4</v>
      </c>
      <c r="F20" s="2">
        <v>3</v>
      </c>
      <c r="G20" s="4">
        <f t="shared" si="0"/>
        <v>12</v>
      </c>
      <c r="H20" s="3" t="str">
        <f t="shared" si="1"/>
        <v>Medium</v>
      </c>
      <c r="I20" s="2" t="s">
        <v>14</v>
      </c>
      <c r="J20" s="2" t="s">
        <v>92</v>
      </c>
    </row>
    <row r="21" spans="1:10" ht="21" customHeight="1">
      <c r="A21" s="2" t="s">
        <v>93</v>
      </c>
      <c r="B21" s="2" t="s">
        <v>71</v>
      </c>
      <c r="C21" s="2" t="s">
        <v>94</v>
      </c>
      <c r="D21" s="2" t="s">
        <v>95</v>
      </c>
      <c r="E21" s="2">
        <v>5</v>
      </c>
      <c r="F21" s="2">
        <v>2</v>
      </c>
      <c r="G21" s="4">
        <f t="shared" si="0"/>
        <v>10</v>
      </c>
      <c r="H21" s="3" t="str">
        <f t="shared" si="1"/>
        <v>Medium</v>
      </c>
      <c r="I21" s="2" t="s">
        <v>14</v>
      </c>
      <c r="J21" s="2" t="s">
        <v>96</v>
      </c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2026-03-25T22:13:10Z</dcterms:modified>
</cp:coreProperties>
</file>